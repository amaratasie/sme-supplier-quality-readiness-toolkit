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b0e811b754d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0459778504f4830"/>
    <x:sheet xmlns:r="http://schemas.openxmlformats.org/officeDocument/2006/relationships" name="APQP Timeline" sheetId="2" r:id="Rf1aaff2e672b4969"/>
    <x:sheet xmlns:r="http://schemas.openxmlformats.org/officeDocument/2006/relationships" name="PPAP Checklist" sheetId="3" r:id="R2c1ef94fe1a34c15"/>
    <x:sheet xmlns:r="http://schemas.openxmlformats.org/officeDocument/2006/relationships" name="Supplier Scorecard" sheetId="4" r:id="Rd0714cef99e649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.0%"/>
  </x:numFmts>
  <x:fonts count="4">
    <x:font>
      <x:sz val="11"/>
      <x:name val="Carlito"/>
    </x:font>
    <x:font>
      <x:b/>
      <x:sz val="17"/>
      <x:color rgb="FFFFFFFF"/>
      <x:name val="Aptos"/>
    </x:font>
    <x:font>
      <x:b/>
      <x:sz val="10"/>
      <x:color rgb="FFFFFFFF"/>
      <x:name val="Aptos"/>
    </x:font>
    <x:font>
      <x:sz val="10"/>
      <x:color rgb="FF202D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A"/>
      </x:patternFill>
    </x:fill>
    <x:fill>
      <x:patternFill patternType="solid">
        <x:fgColor rgb="FFFFF3D6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3" fillId="3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0" fontId="3" fillId="3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3" borderId="0" xfId="0" applyNumberFormat="1" applyFont="1" applyFill="1" applyBorder="1"/>
    <x:xf numFmtId="202" fontId="3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9e8e6a3a34de0" /><Relationship Type="http://schemas.openxmlformats.org/officeDocument/2006/relationships/theme" Target="/xl/theme/theme1.xml" Id="Rb9b17ad485544f92" /><Relationship Type="http://schemas.openxmlformats.org/officeDocument/2006/relationships/sharedStrings" Target="/xl/sharedStrings.xml" Id="R336085f770304779" /><Relationship Type="http://schemas.openxmlformats.org/officeDocument/2006/relationships/worksheet" Target="/xl/worksheets/sheet1.xml" Id="Rc0459778504f4830" /><Relationship Type="http://schemas.openxmlformats.org/officeDocument/2006/relationships/worksheet" Target="/xl/worksheets/sheet2.xml" Id="Rf1aaff2e672b4969" /><Relationship Type="http://schemas.openxmlformats.org/officeDocument/2006/relationships/worksheet" Target="/xl/worksheets/sheet3.xml" Id="R2c1ef94fe1a34c15" /><Relationship Type="http://schemas.openxmlformats.org/officeDocument/2006/relationships/worksheet" Target="/xl/worksheets/sheet4.xml" Id="Rd0714cef99e649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8" hidden="0" customWidth="1"/>
    <x:col min="3" max="3" width="31" hidden="0" customWidth="1"/>
    <x:col min="4" max="4" width="24" hidden="0" customWidth="1"/>
    <x:col min="5" max="5" width="25" hidden="0" customWidth="1"/>
    <x:col min="6" max="6" width="27" hidden="0" customWidth="1"/>
    <x:col min="7" max="7" width="31" hidden="0" customWidth="1"/>
  </x:cols>
  <x:sheetData>
    <x:row r="1" ht="25" customHeight="1">
      <x:c r="A1" s="3" t="str">
        <x:v>SME Supplier Quality Readiness Toolkit</x:v>
      </x:c>
      <x:c r="B1" s="3"/>
      <x:c r="C1" s="3"/>
      <x:c r="D1" s="3"/>
      <x:c r="E1" s="3"/>
      <x:c r="F1" s="3"/>
      <x:c r="G1" s="3"/>
    </x:row>
    <x:row r="2" ht="25" customHeight="1">
      <x:c r="A2" s="3"/>
      <x:c r="B2" s="3"/>
      <x:c r="C2" s="3"/>
      <x:c r="D2" s="3"/>
      <x:c r="E2" s="3"/>
      <x:c r="F2" s="3"/>
      <x:c r="G2" s="3"/>
    </x:row>
    <x:row r="4">
      <x:c r="A4" t="str">
        <x:v>Version</x:v>
      </x:c>
      <x:c r="B4" t="str">
        <x:v>1.0 · September 2026</x:v>
      </x:c>
    </x:row>
    <x:row r="6" ht="42" customHeight="1">
      <x:c r="A6" s="7" t="str">
        <x:v>Component</x:v>
      </x:c>
      <x:c r="B6" s="7" t="str">
        <x:v>Purpose</x:v>
      </x:c>
      <x:c r="C6" s="7" t="str">
        <x:v>First action</x:v>
      </x:c>
      <x:c r="D6" s="7" t="str">
        <x:v>Who leads</x:v>
      </x:c>
      <x:c r="E6" s="7" t="str">
        <x:v>Decision</x:v>
      </x:c>
      <x:c r="F6" s="7" t="str">
        <x:v>Record to retain</x:v>
      </x:c>
      <x:c r="G6" s="7" t="str">
        <x:v>Boundary</x:v>
      </x:c>
    </x:row>
    <x:row r="7" ht="42" customHeight="1">
      <x:c r="A7" s="11" t="str">
        <x:v>APQP Timeline</x:v>
      </x:c>
      <x:c r="B7" s="11" t="str">
        <x:v>Plan a part or process launch</x:v>
      </x:c>
      <x:c r="C7" s="11" t="str">
        <x:v>Agree scope and kickoff date</x:v>
      </x:c>
      <x:c r="D7" s="11" t="str">
        <x:v>Launch owner</x:v>
      </x:c>
      <x:c r="E7" s="11" t="str">
        <x:v>Gate reviewer signs off</x:v>
      </x:c>
      <x:c r="F7" s="11" t="str">
        <x:v>Dated evidence by activity</x:v>
      </x:c>
      <x:c r="G7" s="11" t="str">
        <x:v>Customer deadlines prevail</x:v>
      </x:c>
    </x:row>
    <x:row r="8" ht="42" customHeight="1">
      <x:c r="A8" s="11" t="str">
        <x:v>PPAP Checklist</x:v>
      </x:c>
      <x:c r="B8" s="11" t="str">
        <x:v>Prepare customer-agreed evidence</x:v>
      </x:c>
      <x:c r="C8" s="11" t="str">
        <x:v>Mark applicability and ask customer</x:v>
      </x:c>
      <x:c r="D8" s="11" t="str">
        <x:v>Quality or project lead</x:v>
      </x:c>
      <x:c r="E8" s="11" t="str">
        <x:v>Customer approval</x:v>
      </x:c>
      <x:c r="F8" s="11" t="str">
        <x:v>Package index and decision</x:v>
      </x:c>
      <x:c r="G8" s="11" t="str">
        <x:v>Not an AIAG PPAP substitute</x:v>
      </x:c>
    </x:row>
    <x:row r="9" ht="42" customHeight="1">
      <x:c r="A9" s="11" t="str">
        <x:v>Supplier Scorecard</x:v>
      </x:c>
      <x:c r="B9" s="11" t="str">
        <x:v>Review comparable performance</x:v>
      </x:c>
      <x:c r="C9" s="11" t="str">
        <x:v>Enter source counts and weights</x:v>
      </x:c>
      <x:c r="D9" s="11" t="str">
        <x:v>Purchasing and operations</x:v>
      </x:c>
      <x:c r="E9" s="11" t="str">
        <x:v>Investigate low scores</x:v>
      </x:c>
      <x:c r="F9" s="11" t="str">
        <x:v>Shipments, defects, actions</x:v>
      </x:c>
      <x:c r="G9" s="11" t="str">
        <x:v>Internal triage only</x:v>
      </x:c>
    </x:row>
    <x:row r="10" ht="42" customHeight="1">
      <x:c r="A10" s="11" t="str">
        <x:v>8D Guide DOCX</x:v>
      </x:c>
      <x:c r="B10" s="11" t="str">
        <x:v>Investigate and prevent recurrence</x:v>
      </x:c>
      <x:c r="C10" s="11" t="str">
        <x:v>Contain suspect product first</x:v>
      </x:c>
      <x:c r="D10" s="11" t="str">
        <x:v>Cross-functional team</x:v>
      </x:c>
      <x:c r="E10" s="11" t="str">
        <x:v>Verify effectiveness</x:v>
      </x:c>
      <x:c r="F10" s="11" t="str">
        <x:v>Evidence and closure</x:v>
      </x:c>
      <x:c r="G10" s="11" t="str">
        <x:v>Escalate safety and regulatory risk</x:v>
      </x:c>
    </x:row>
    <x:row r="11" ht="42" customHeight="1">
      <x:c r="A11" s="11" t="str">
        <x:v>Usage</x:v>
      </x:c>
      <x:c r="B11" s="11" t="str">
        <x:v>Copy a file for each launch or reporting period</x:v>
      </x:c>
      <x:c r="C11" s="11" t="str">
        <x:v>Keep original template unchanged</x:v>
      </x:c>
      <x:c r="D11" s="11" t="str">
        <x:v>Named owner</x:v>
      </x:c>
      <x:c r="E11" s="11" t="str">
        <x:v>Review with customer</x:v>
      </x:c>
      <x:c r="F11" s="11" t="str">
        <x:v>Revision history</x:v>
      </x:c>
      <x:c r="G11" s="11" t="str">
        <x:v>Do not use invented data</x:v>
      </x:c>
    </x:row>
    <x:row r="12" ht="42" customHeight="1">
      <x:c r="A12" s="11" t="str">
        <x:v>Rights</x:v>
      </x:c>
      <x:c r="B12" s="11" t="str">
        <x:v>© 2026 Amarachukwu Tasie</x:v>
      </x:c>
      <x:c r="C12" s="11" t="str">
        <x:v>Contact author for reuse terms</x:v>
      </x:c>
      <x:c r="D12" s="11" t="str">
        <x:v>Author</x:v>
      </x:c>
      <x:c r="E12" s="11" t="str"/>
      <x:c r="F12" s="11" t="str"/>
      <x:c r="G12" s="11" t="str">
        <x:v>Public access does not grant endorsement</x:v>
      </x:c>
    </x:row>
    <x:row r="14">
      <x:c r="A14" s="12" t="str">
        <x:v>Risk rule</x:v>
      </x:c>
      <x:c r="B14" s="12" t="str"/>
      <x:c r="C14" s="12" t="str"/>
      <x:c r="D14" s="12" t="str"/>
      <x:c r="E14" s="12" t="str"/>
      <x:c r="F14" s="12" t="str"/>
      <x:c r="G14" s="12" t="str"/>
    </x:row>
    <x:row r="15" ht="44" customHeight="1">
      <x:c r="A15" s="12" t="str">
        <x:v>Use customer-required forms, studies, and acceptance limits whenever specified. If scope is unclear, record the open question and get a dated customer decision. A completed cell is not proof of process capability.</x:v>
      </x:c>
      <x:c r="B15" s="12" t="str"/>
      <x:c r="C15" s="12" t="str"/>
      <x:c r="D15" s="12" t="str"/>
      <x:c r="E15" s="12" t="str"/>
      <x:c r="F15" s="12" t="str"/>
      <x:c r="G15" s="12" t="str"/>
    </x:row>
    <x:row r="16" ht="44" customHeight="1">
      <x:c r="A16" s="12" t="str">
        <x:v>The templates are original planning aids informed by public AIAG descriptions of APQP, PPAP, FMEA and by NIST MEP quality resources. They do not reproduce AIAG forms.</x:v>
      </x:c>
      <x:c r="B16" s="12" t="str"/>
      <x:c r="C16" s="12" t="str"/>
      <x:c r="D16" s="12" t="str"/>
      <x:c r="E16" s="12" t="str"/>
      <x:c r="F16" s="12" t="str"/>
      <x:c r="G16" s="12" t="str"/>
    </x:row>
  </x:sheetData>
  <x:mergeCells>
    <x:mergeCell ref="A1:G2"/>
    <x:mergeCell ref="A14:G14"/>
    <x:mergeCell ref="A15:G15"/>
    <x:mergeCell ref="A16:G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9" hidden="0" customWidth="1"/>
    <x:col min="2" max="2" width="43" hidden="0" customWidth="1"/>
    <x:col min="3" max="3" width="18" hidden="0" customWidth="1"/>
    <x:col min="4" max="4" width="13" hidden="0" customWidth="1"/>
    <x:col min="5" max="5" width="14" hidden="0" customWidth="1"/>
    <x:col min="6" max="6" width="17" hidden="0" customWidth="1"/>
    <x:col min="7" max="7" width="50" hidden="0" customWidth="1"/>
    <x:col min="8" max="8" width="18" hidden="0" customWidth="1"/>
    <x:col min="9" max="9" width="17" hidden="0" customWidth="1"/>
  </x:cols>
  <x:sheetData>
    <x:row r="1" ht="25" customHeight="1">
      <x:c r="A1" s="3" t="str">
        <x:v>APQP Timeline for Small and Medium-Sized U.S. Manufacturers</x:v>
      </x:c>
      <x:c r="B1" s="3"/>
      <x:c r="C1" s="3"/>
      <x:c r="D1" s="3"/>
      <x:c r="E1" s="3"/>
      <x:c r="F1" s="3"/>
      <x:c r="G1" s="3"/>
      <x:c r="H1" s="3"/>
      <x:c r="I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4">
      <x:c r="A4" t="str">
        <x:v>Launch or part ID</x:v>
      </x:c>
      <x:c r="B4" s="14" t="str"/>
      <x:c r="C4" t="str"/>
    </x:row>
    <x:row r="5">
      <x:c r="A5" t="str">
        <x:v>Kickoff date</x:v>
      </x:c>
      <x:c r="B5" s="15" t="str"/>
      <x:c r="C5" t="str">
        <x:v>Enter date in B5; leave blank until agreed</x:v>
      </x:c>
    </x:row>
    <x:row r="6">
      <x:c r="A6" t="str">
        <x:v>Customer and drawing revision</x:v>
      </x:c>
      <x:c r="B6" s="14" t="str"/>
      <x:c r="C6" t="str">
        <x:v>Confirm required studies and due dates with customer</x:v>
      </x:c>
    </x:row>
    <x:row r="8">
      <x:c r="A8" s="7" t="str">
        <x:v>Gate</x:v>
      </x:c>
      <x:c r="B8" s="7" t="str">
        <x:v>Activity</x:v>
      </x:c>
      <x:c r="C8" s="7" t="str">
        <x:v>Owner</x:v>
      </x:c>
      <x:c r="D8" s="7" t="str">
        <x:v>Start week</x:v>
      </x:c>
      <x:c r="E8" s="7" t="str">
        <x:v>Duration weeks</x:v>
      </x:c>
      <x:c r="F8" s="7" t="str">
        <x:v>Target date</x:v>
      </x:c>
      <x:c r="G8" s="7" t="str">
        <x:v>Evidence or exit criterion</x:v>
      </x:c>
      <x:c r="H8" s="7" t="str">
        <x:v>Status</x:v>
      </x:c>
      <x:c r="I8" s="7" t="str">
        <x:v>Actual date</x:v>
      </x:c>
    </x:row>
    <x:row r="9" ht="42" customHeight="1">
      <x:c r="A9" s="11" t="str">
        <x:v>0</x:v>
      </x:c>
      <x:c r="B9" s="11" t="str">
        <x:v>Confirm drawing, revision, requirements, intended rate</x:v>
      </x:c>
      <x:c r="C9" s="16" t="str"/>
      <x:c r="D9" s="16" t="n">
        <x:v>0</x:v>
      </x:c>
      <x:c r="E9" s="16" t="n">
        <x:v>1</x:v>
      </x:c>
      <x:c r="F9" s="17" t="str">
        <x:f>IF($B$5="","",$B$5+7*(D9+E9))</x:f>
      </x:c>
      <x:c r="G9" s="11" t="str">
        <x:v>Requirement register; unresolved questions logged</x:v>
      </x:c>
      <x:c r="H9" s="16" t="str">
        <x:v>Not started</x:v>
      </x:c>
      <x:c r="I9" s="18" t="str"/>
    </x:row>
    <x:row r="10" ht="42" customHeight="1">
      <x:c r="A10" s="11" t="str">
        <x:v>0</x:v>
      </x:c>
      <x:c r="B10" s="11" t="str">
        <x:v>Agree customer evidence and approval path</x:v>
      </x:c>
      <x:c r="C10" s="16" t="str"/>
      <x:c r="D10" s="16" t="n">
        <x:v>0</x:v>
      </x:c>
      <x:c r="E10" s="16" t="n">
        <x:v>1</x:v>
      </x:c>
      <x:c r="F10" s="17" t="str">
        <x:f>IF($B$5="","",$B$5+7*(D10+E10))</x:f>
      </x:c>
      <x:c r="G10" s="11" t="str">
        <x:v>Named decision maker and required package</x:v>
      </x:c>
      <x:c r="H10" s="16" t="str">
        <x:v>Not started</x:v>
      </x:c>
      <x:c r="I10" s="18" t="str"/>
    </x:row>
    <x:row r="11" ht="42" customHeight="1">
      <x:c r="A11" s="11" t="str">
        <x:v>1</x:v>
      </x:c>
      <x:c r="B11" s="11" t="str">
        <x:v>Map actual process and identify special characteristics</x:v>
      </x:c>
      <x:c r="C11" s="16" t="str"/>
      <x:c r="D11" s="16" t="n">
        <x:v>1</x:v>
      </x:c>
      <x:c r="E11" s="16" t="n">
        <x:v>1</x:v>
      </x:c>
      <x:c r="F11" s="17" t="str">
        <x:f>IF($B$5="","",$B$5+7*(D11+E11))</x:f>
      </x:c>
      <x:c r="G11" s="11" t="str">
        <x:v>Process flow and characteristic list</x:v>
      </x:c>
      <x:c r="H11" s="16" t="str">
        <x:v>Not started</x:v>
      </x:c>
      <x:c r="I11" s="18" t="str"/>
    </x:row>
    <x:row r="12" ht="42" customHeight="1">
      <x:c r="A12" s="11" t="str">
        <x:v>1</x:v>
      </x:c>
      <x:c r="B12" s="11" t="str">
        <x:v>Review failure modes and assign actions</x:v>
      </x:c>
      <x:c r="C12" s="16" t="str"/>
      <x:c r="D12" s="16" t="n">
        <x:v>1</x:v>
      </x:c>
      <x:c r="E12" s="16" t="n">
        <x:v>2</x:v>
      </x:c>
      <x:c r="F12" s="17" t="str">
        <x:f>IF($B$5="","",$B$5+7*(D12+E12))</x:f>
      </x:c>
      <x:c r="G12" s="11" t="str">
        <x:v>PFMEA or focused risk record; high risk escalated</x:v>
      </x:c>
      <x:c r="H12" s="16" t="str">
        <x:v>Not started</x:v>
      </x:c>
      <x:c r="I12" s="18" t="str"/>
    </x:row>
    <x:row r="13" ht="42" customHeight="1">
      <x:c r="A13" s="11" t="str">
        <x:v>2</x:v>
      </x:c>
      <x:c r="B13" s="11" t="str">
        <x:v>Link critical risks to process controls</x:v>
      </x:c>
      <x:c r="C13" s="16" t="str"/>
      <x:c r="D13" s="16" t="n">
        <x:v>2</x:v>
      </x:c>
      <x:c r="E13" s="16" t="n">
        <x:v>1</x:v>
      </x:c>
      <x:c r="F13" s="17" t="str">
        <x:f>IF($B$5="","",$B$5+7*(D13+E13))</x:f>
      </x:c>
      <x:c r="G13" s="11" t="str">
        <x:v>Control plan with method, frequency, reaction plan</x:v>
      </x:c>
      <x:c r="H13" s="16" t="str">
        <x:v>Not started</x:v>
      </x:c>
      <x:c r="I13" s="18" t="str"/>
    </x:row>
    <x:row r="14" ht="42" customHeight="1">
      <x:c r="A14" s="11" t="str">
        <x:v>2</x:v>
      </x:c>
      <x:c r="B14" s="11" t="str">
        <x:v>Confirm gage suitability and required studies</x:v>
      </x:c>
      <x:c r="C14" s="16" t="str"/>
      <x:c r="D14" s="16" t="n">
        <x:v>2</x:v>
      </x:c>
      <x:c r="E14" s="16" t="n">
        <x:v>2</x:v>
      </x:c>
      <x:c r="F14" s="17" t="str">
        <x:f>IF($B$5="","",$B$5+7*(D14+E14))</x:f>
      </x:c>
      <x:c r="G14" s="11" t="str">
        <x:v>Calibration and MSA where customer requires</x:v>
      </x:c>
      <x:c r="H14" s="16" t="str">
        <x:v>Not started</x:v>
      </x:c>
      <x:c r="I14" s="18" t="str"/>
    </x:row>
    <x:row r="15" ht="42" customHeight="1">
      <x:c r="A15" s="11" t="str">
        <x:v>3</x:v>
      </x:c>
      <x:c r="B15" s="11" t="str">
        <x:v>Run intended process and rate trial</x:v>
      </x:c>
      <x:c r="C15" s="16" t="str"/>
      <x:c r="D15" s="16" t="n">
        <x:v>4</x:v>
      </x:c>
      <x:c r="E15" s="16" t="n">
        <x:v>1</x:v>
      </x:c>
      <x:c r="F15" s="17" t="str">
        <x:f>IF($B$5="","",$B$5+7*(D15+E15))</x:f>
      </x:c>
      <x:c r="G15" s="11" t="str">
        <x:v>Traceable trial and inspection records</x:v>
      </x:c>
      <x:c r="H15" s="16" t="str">
        <x:v>Not started</x:v>
      </x:c>
      <x:c r="I15" s="18" t="str"/>
    </x:row>
    <x:row r="16" ht="42" customHeight="1">
      <x:c r="A16" s="11" t="str">
        <x:v>3</x:v>
      </x:c>
      <x:c r="B16" s="11" t="str">
        <x:v>Close trial gaps and verify actions</x:v>
      </x:c>
      <x:c r="C16" s="16" t="str"/>
      <x:c r="D16" s="16" t="n">
        <x:v>5</x:v>
      </x:c>
      <x:c r="E16" s="16" t="n">
        <x:v>2</x:v>
      </x:c>
      <x:c r="F16" s="17" t="str">
        <x:f>IF($B$5="","",$B$5+7*(D16+E16))</x:f>
      </x:c>
      <x:c r="G16" s="11" t="str">
        <x:v>Verified actions with owner and closure date</x:v>
      </x:c>
      <x:c r="H16" s="16" t="str">
        <x:v>Not started</x:v>
      </x:c>
      <x:c r="I16" s="18" t="str"/>
    </x:row>
    <x:row r="17" ht="42" customHeight="1">
      <x:c r="A17" s="11" t="str">
        <x:v>4</x:v>
      </x:c>
      <x:c r="B17" s="11" t="str">
        <x:v>Assemble customer-agreed evidence package</x:v>
      </x:c>
      <x:c r="C17" s="16" t="str"/>
      <x:c r="D17" s="16" t="n">
        <x:v>6</x:v>
      </x:c>
      <x:c r="E17" s="16" t="n">
        <x:v>1</x:v>
      </x:c>
      <x:c r="F17" s="17" t="str">
        <x:f>IF($B$5="","",$B$5+7*(D17+E17))</x:f>
      </x:c>
      <x:c r="G17" s="11" t="str">
        <x:v>Controlled package index and required evidence</x:v>
      </x:c>
      <x:c r="H17" s="16" t="str">
        <x:v>Not started</x:v>
      </x:c>
      <x:c r="I17" s="18" t="str"/>
    </x:row>
    <x:row r="18" ht="42" customHeight="1">
      <x:c r="A18" s="11" t="str">
        <x:v>4</x:v>
      </x:c>
      <x:c r="B18" s="11" t="str">
        <x:v>Submit and obtain customer decision</x:v>
      </x:c>
      <x:c r="C18" s="16" t="str"/>
      <x:c r="D18" s="16" t="n">
        <x:v>7</x:v>
      </x:c>
      <x:c r="E18" s="16" t="n">
        <x:v>2</x:v>
      </x:c>
      <x:c r="F18" s="17" t="str">
        <x:f>IF($B$5="","",$B$5+7*(D18+E18))</x:f>
      </x:c>
      <x:c r="G18" s="11" t="str">
        <x:v>Written full, interim, rejected, or pending decision</x:v>
      </x:c>
      <x:c r="H18" s="16" t="str">
        <x:v>Not started</x:v>
      </x:c>
      <x:c r="I18" s="18" t="str"/>
    </x:row>
    <x:row r="19" ht="42" customHeight="1">
      <x:c r="A19" s="11" t="str">
        <x:v>5</x:v>
      </x:c>
      <x:c r="B19" s="11" t="str">
        <x:v>Monitor first production and escapes</x:v>
      </x:c>
      <x:c r="C19" s="16" t="str"/>
      <x:c r="D19" s="16" t="n">
        <x:v>9</x:v>
      </x:c>
      <x:c r="E19" s="16" t="n">
        <x:v>4</x:v>
      </x:c>
      <x:c r="F19" s="17" t="str">
        <x:f>IF($B$5="","",$B$5+7*(D19+E19))</x:f>
      </x:c>
      <x:c r="G19" s="11" t="str">
        <x:v>Defect, containment and change log</x:v>
      </x:c>
      <x:c r="H19" s="16" t="str">
        <x:v>Not started</x:v>
      </x:c>
      <x:c r="I19" s="18" t="str"/>
    </x:row>
    <x:row r="20" ht="42" customHeight="1">
      <x:c r="A20" s="11" t="str">
        <x:v>5</x:v>
      </x:c>
      <x:c r="B20" s="11" t="str">
        <x:v>Approve stabilization exit and handoff</x:v>
      </x:c>
      <x:c r="C20" s="16" t="str"/>
      <x:c r="D20" s="16" t="n">
        <x:v>13</x:v>
      </x:c>
      <x:c r="E20" s="16" t="n">
        <x:v>1</x:v>
      </x:c>
      <x:c r="F20" s="17" t="str">
        <x:f>IF($B$5="","",$B$5+7*(D20+E20))</x:f>
      </x:c>
      <x:c r="G20" s="11" t="str">
        <x:v>Exit decision and current control plan</x:v>
      </x:c>
      <x:c r="H20" s="16" t="str">
        <x:v>Not started</x:v>
      </x:c>
      <x:c r="I20" s="18" t="str"/>
    </x:row>
    <x:row r="22">
      <x:c r="A22" t="str">
        <x:v>Use notes</x:v>
      </x:c>
      <x:c r="B22" t="str"/>
      <x:c r="C22" t="str"/>
      <x:c r="D22" t="str"/>
      <x:c r="E22" t="str"/>
      <x:c r="F22" t="str"/>
      <x:c r="G22" t="str"/>
      <x:c r="H22" t="str"/>
      <x:c r="I22" t="str"/>
    </x:row>
    <x:row r="23" ht="44" customHeight="1">
      <x:c r="A23" s="12" t="str">
        <x:v>Weeks are editable planning defaults, not a mandated AIAG schedule. Start week 0 is kickoff. A reviewer should check actual evidence before marking Approved. Add rows as needed; revise gates when a change invalidates prior work.</x:v>
      </x:c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</x:row>
  </x:sheetData>
  <x:mergeCells>
    <x:mergeCell ref="A1:I2"/>
    <x:mergeCell ref="A22:I22"/>
    <x:mergeCell ref="A23:I23"/>
  </x:mergeCells>
  <x:dataValidations count="1">
    <x:dataValidation type="list" sqref="H9:H20">
      <x:formula1>"Not started,In progress,Blocked,Ready for review,Approved"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7" hidden="0" customWidth="1"/>
    <x:col min="2" max="2" width="37" hidden="0" customWidth="1"/>
    <x:col min="3" max="3" width="22" hidden="0" customWidth="1"/>
    <x:col min="4" max="4" width="38" hidden="0" customWidth="1"/>
    <x:col min="5" max="5" width="19" hidden="0" customWidth="1"/>
    <x:col min="6" max="6" width="33" hidden="0" customWidth="1"/>
    <x:col min="7" max="7" width="18" hidden="0" customWidth="1"/>
    <x:col min="8" max="8" width="31" hidden="0" customWidth="1"/>
  </x:cols>
  <x:sheetData>
    <x:row r="1" ht="25" customHeight="1">
      <x:c r="A1" s="3" t="str">
        <x:v>First Time Domestic Supplier PPAP Preparation Checklist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4">
      <x:c r="A4" t="str">
        <x:v>Part and revision</x:v>
      </x:c>
      <x:c r="B4" t="str"/>
      <x:c r="C4" t="str">
        <x:v>Customer</x:v>
      </x:c>
      <x:c r="D4" t="str"/>
      <x:c r="E4" t="str">
        <x:v>Submission target</x:v>
      </x:c>
      <x:c r="F4" t="str"/>
      <x:c r="G4" t="str">
        <x:v>Customer contact</x:v>
      </x:c>
      <x:c r="H4" t="str"/>
    </x:row>
    <x:row r="5" ht="40" customHeight="1">
      <x:c r="A5" s="12" t="str">
        <x:v>Review rule</x:v>
      </x:c>
      <x:c r="B5" s="12" t="str">
        <x:v>Confirm applicable requirements before preparing evidence. “N/A” needs recorded customer agreement. Only authorized customer approval releases production.</x:v>
      </x:c>
      <x:c r="C5" s="12" t="str"/>
      <x:c r="D5" s="12" t="str"/>
      <x:c r="E5" s="12" t="str"/>
      <x:c r="F5" s="12" t="str"/>
      <x:c r="G5" s="12" t="str"/>
      <x:c r="H5" s="12" t="str"/>
    </x:row>
    <x:row r="7">
      <x:c r="A7" s="7" t="str">
        <x:v>No.</x:v>
      </x:c>
      <x:c r="B7" s="7" t="str">
        <x:v>Evidence category</x:v>
      </x:c>
      <x:c r="C7" s="7" t="str">
        <x:v>Applicable?</x:v>
      </x:c>
      <x:c r="D7" s="7" t="str">
        <x:v>Customer requirement or acceptance rule</x:v>
      </x:c>
      <x:c r="E7" s="7" t="str">
        <x:v>Status</x:v>
      </x:c>
      <x:c r="F7" s="7" t="str">
        <x:v>File or record location</x:v>
      </x:c>
      <x:c r="G7" s="7" t="str">
        <x:v>Owner</x:v>
      </x:c>
      <x:c r="H7" s="7" t="str">
        <x:v>Customer decision or date</x:v>
      </x:c>
    </x:row>
    <x:row r="8" ht="42" customHeight="1">
      <x:c r="A8" s="11" t="n">
        <x:v>1</x:v>
      </x:c>
      <x:c r="B8" s="11" t="str">
        <x:v>Design record and revision</x:v>
      </x:c>
      <x:c r="C8" s="16" t="str">
        <x:v>Confirm</x:v>
      </x:c>
      <x:c r="D8" s="16" t="str"/>
      <x:c r="E8" s="16" t="str">
        <x:v>Not started</x:v>
      </x:c>
      <x:c r="F8" s="16" t="str"/>
      <x:c r="G8" s="16" t="str"/>
      <x:c r="H8" s="16" t="str"/>
    </x:row>
    <x:row r="9" ht="42" customHeight="1">
      <x:c r="A9" s="11" t="n">
        <x:v>2</x:v>
      </x:c>
      <x:c r="B9" s="11" t="str">
        <x:v>Engineering change record</x:v>
      </x:c>
      <x:c r="C9" s="16" t="str">
        <x:v>Confirm</x:v>
      </x:c>
      <x:c r="D9" s="16" t="str"/>
      <x:c r="E9" s="16" t="str">
        <x:v>Not started</x:v>
      </x:c>
      <x:c r="F9" s="16" t="str"/>
      <x:c r="G9" s="16" t="str"/>
      <x:c r="H9" s="16" t="str"/>
    </x:row>
    <x:row r="10" ht="42" customHeight="1">
      <x:c r="A10" s="11" t="n">
        <x:v>3</x:v>
      </x:c>
      <x:c r="B10" s="11" t="str">
        <x:v>Customer engineering approval if required</x:v>
      </x:c>
      <x:c r="C10" s="16" t="str">
        <x:v>Confirm</x:v>
      </x:c>
      <x:c r="D10" s="16" t="str"/>
      <x:c r="E10" s="16" t="str">
        <x:v>Not started</x:v>
      </x:c>
      <x:c r="F10" s="16" t="str"/>
      <x:c r="G10" s="16" t="str"/>
      <x:c r="H10" s="16" t="str"/>
    </x:row>
    <x:row r="11" ht="42" customHeight="1">
      <x:c r="A11" s="11" t="n">
        <x:v>4</x:v>
      </x:c>
      <x:c r="B11" s="11" t="str">
        <x:v>Process flow and site or routing</x:v>
      </x:c>
      <x:c r="C11" s="16" t="str">
        <x:v>Confirm</x:v>
      </x:c>
      <x:c r="D11" s="16" t="str"/>
      <x:c r="E11" s="16" t="str">
        <x:v>Not started</x:v>
      </x:c>
      <x:c r="F11" s="16" t="str"/>
      <x:c r="G11" s="16" t="str"/>
      <x:c r="H11" s="16" t="str"/>
    </x:row>
    <x:row r="12" ht="42" customHeight="1">
      <x:c r="A12" s="11" t="n">
        <x:v>5</x:v>
      </x:c>
      <x:c r="B12" s="11" t="str">
        <x:v>Process risk analysis and actions</x:v>
      </x:c>
      <x:c r="C12" s="16" t="str">
        <x:v>Confirm</x:v>
      </x:c>
      <x:c r="D12" s="16" t="str"/>
      <x:c r="E12" s="16" t="str">
        <x:v>Not started</x:v>
      </x:c>
      <x:c r="F12" s="16" t="str"/>
      <x:c r="G12" s="16" t="str"/>
      <x:c r="H12" s="16" t="str"/>
    </x:row>
    <x:row r="13" ht="42" customHeight="1">
      <x:c r="A13" s="11" t="n">
        <x:v>6</x:v>
      </x:c>
      <x:c r="B13" s="11" t="str">
        <x:v>Control plan and reaction plan</x:v>
      </x:c>
      <x:c r="C13" s="16" t="str">
        <x:v>Confirm</x:v>
      </x:c>
      <x:c r="D13" s="16" t="str"/>
      <x:c r="E13" s="16" t="str">
        <x:v>Not started</x:v>
      </x:c>
      <x:c r="F13" s="16" t="str"/>
      <x:c r="G13" s="16" t="str"/>
      <x:c r="H13" s="16" t="str"/>
    </x:row>
    <x:row r="14" ht="42" customHeight="1">
      <x:c r="A14" s="11" t="n">
        <x:v>7</x:v>
      </x:c>
      <x:c r="B14" s="11" t="str">
        <x:v>Measurement equipment and system evidence</x:v>
      </x:c>
      <x:c r="C14" s="16" t="str">
        <x:v>Confirm</x:v>
      </x:c>
      <x:c r="D14" s="16" t="str"/>
      <x:c r="E14" s="16" t="str">
        <x:v>Not started</x:v>
      </x:c>
      <x:c r="F14" s="16" t="str"/>
      <x:c r="G14" s="16" t="str"/>
      <x:c r="H14" s="16" t="str"/>
    </x:row>
    <x:row r="15" ht="42" customHeight="1">
      <x:c r="A15" s="11" t="n">
        <x:v>8</x:v>
      </x:c>
      <x:c r="B15" s="11" t="str">
        <x:v>Dimensional results against drawing</x:v>
      </x:c>
      <x:c r="C15" s="16" t="str">
        <x:v>Confirm</x:v>
      </x:c>
      <x:c r="D15" s="16" t="str"/>
      <x:c r="E15" s="16" t="str">
        <x:v>Not started</x:v>
      </x:c>
      <x:c r="F15" s="16" t="str"/>
      <x:c r="G15" s="16" t="str"/>
      <x:c r="H15" s="16" t="str"/>
    </x:row>
    <x:row r="16" ht="42" customHeight="1">
      <x:c r="A16" s="11" t="n">
        <x:v>9</x:v>
      </x:c>
      <x:c r="B16" s="11" t="str">
        <x:v>Material and performance test results</x:v>
      </x:c>
      <x:c r="C16" s="16" t="str">
        <x:v>Confirm</x:v>
      </x:c>
      <x:c r="D16" s="16" t="str"/>
      <x:c r="E16" s="16" t="str">
        <x:v>Not started</x:v>
      </x:c>
      <x:c r="F16" s="16" t="str"/>
      <x:c r="G16" s="16" t="str"/>
      <x:c r="H16" s="16" t="str"/>
    </x:row>
    <x:row r="17" ht="42" customHeight="1">
      <x:c r="A17" s="11" t="n">
        <x:v>10</x:v>
      </x:c>
      <x:c r="B17" s="11" t="str">
        <x:v>Initial process study and capability if required</x:v>
      </x:c>
      <x:c r="C17" s="16" t="str">
        <x:v>Confirm</x:v>
      </x:c>
      <x:c r="D17" s="16" t="str"/>
      <x:c r="E17" s="16" t="str">
        <x:v>Not started</x:v>
      </x:c>
      <x:c r="F17" s="16" t="str"/>
      <x:c r="G17" s="16" t="str"/>
      <x:c r="H17" s="16" t="str"/>
    </x:row>
    <x:row r="18" ht="42" customHeight="1">
      <x:c r="A18" s="11" t="n">
        <x:v>11</x:v>
      </x:c>
      <x:c r="B18" s="11" t="str">
        <x:v>Production rate or process trial evidence</x:v>
      </x:c>
      <x:c r="C18" s="16" t="str">
        <x:v>Confirm</x:v>
      </x:c>
      <x:c r="D18" s="16" t="str"/>
      <x:c r="E18" s="16" t="str">
        <x:v>Not started</x:v>
      </x:c>
      <x:c r="F18" s="16" t="str"/>
      <x:c r="G18" s="16" t="str"/>
      <x:c r="H18" s="16" t="str"/>
    </x:row>
    <x:row r="19" ht="42" customHeight="1">
      <x:c r="A19" s="11" t="n">
        <x:v>12</x:v>
      </x:c>
      <x:c r="B19" s="11" t="str">
        <x:v>Traceable sample parts and master sample if required</x:v>
      </x:c>
      <x:c r="C19" s="16" t="str">
        <x:v>Confirm</x:v>
      </x:c>
      <x:c r="D19" s="16" t="str"/>
      <x:c r="E19" s="16" t="str">
        <x:v>Not started</x:v>
      </x:c>
      <x:c r="F19" s="16" t="str"/>
      <x:c r="G19" s="16" t="str"/>
      <x:c r="H19" s="16" t="str"/>
    </x:row>
    <x:row r="20" ht="42" customHeight="1">
      <x:c r="A20" s="11" t="n">
        <x:v>13</x:v>
      </x:c>
      <x:c r="B20" s="11" t="str">
        <x:v>Customer-specific forms or declarations</x:v>
      </x:c>
      <x:c r="C20" s="16" t="str">
        <x:v>Confirm</x:v>
      </x:c>
      <x:c r="D20" s="16" t="str"/>
      <x:c r="E20" s="16" t="str">
        <x:v>Not started</x:v>
      </x:c>
      <x:c r="F20" s="16" t="str"/>
      <x:c r="G20" s="16" t="str"/>
      <x:c r="H20" s="16" t="str"/>
    </x:row>
    <x:row r="21" ht="42" customHeight="1">
      <x:c r="A21" s="11" t="n">
        <x:v>14</x:v>
      </x:c>
      <x:c r="B21" s="11" t="str">
        <x:v>Submission summary and written customer decision</x:v>
      </x:c>
      <x:c r="C21" s="16" t="str">
        <x:v>Confirm</x:v>
      </x:c>
      <x:c r="D21" s="16" t="str"/>
      <x:c r="E21" s="16" t="str">
        <x:v>Not started</x:v>
      </x:c>
      <x:c r="F21" s="16" t="str"/>
      <x:c r="G21" s="16" t="str"/>
      <x:c r="H21" s="16" t="str"/>
    </x:row>
    <x:row r="23">
      <x:c r="A23" t="str">
        <x:v>How to use</x:v>
      </x:c>
      <x:c r="B23" t="str"/>
      <x:c r="C23" t="str"/>
      <x:c r="D23" t="str"/>
      <x:c r="E23" t="str"/>
      <x:c r="F23" t="str"/>
      <x:c r="G23" t="str"/>
      <x:c r="H23" t="str"/>
    </x:row>
    <x:row r="24" ht="42" customHeight="1">
      <x:c r="A24" s="12" t="str">
        <x:v>Set applicability from the customer contract and current AIAG/customer rules; record a file path or evidence ID. A first article alone does not establish a stable production process. Do not mark accepted based only on an internal review.</x:v>
      </x:c>
      <x:c r="B24" s="12" t="str"/>
      <x:c r="C24" s="12" t="str"/>
      <x:c r="D24" s="12" t="str"/>
      <x:c r="E24" s="12" t="str"/>
      <x:c r="F24" s="12" t="str"/>
      <x:c r="G24" s="12" t="str"/>
      <x:c r="H24" s="12" t="str"/>
    </x:row>
  </x:sheetData>
  <x:mergeCells>
    <x:mergeCell ref="A1:H2"/>
    <x:mergeCell ref="A23:H23"/>
    <x:mergeCell ref="A24:H24"/>
  </x:mergeCells>
  <x:dataValidations count="2">
    <x:dataValidation type="list" sqref="C8:C21">
      <x:formula1>"Confirm,Yes,No with customer agreement"</x:formula1>
    </x:dataValidation>
    <x:dataValidation type="list" sqref="E8:E21">
      <x:formula1>"Not started,In progress,Ready for review,Accepted,Rejected,N/A with approval"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9" hidden="0" customWidth="1"/>
    <x:col min="4" max="4" width="18" hidden="0" customWidth="1"/>
    <x:col min="5" max="5" width="17" hidden="0" customWidth="1"/>
    <x:col min="6" max="6" width="17" hidden="0" customWidth="1"/>
    <x:col min="7" max="7" width="18" hidden="0" customWidth="1"/>
    <x:col min="8" max="8" width="16" hidden="0" customWidth="1"/>
    <x:col min="9" max="9" width="19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8" hidden="0" customWidth="1"/>
    <x:col min="16" max="16" width="19" hidden="0" customWidth="1"/>
  </x:cols>
  <x:sheetData>
    <x:row r="1" ht="25" customHeight="1">
      <x:c r="A1" s="3" t="str">
        <x:v>Supplier Scorecard with Source Counts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4">
      <x:c r="A4" t="str">
        <x:v>Scoring settings</x:v>
      </x:c>
      <x:c r="B4" t="str">
        <x:v>Value</x:v>
      </x:c>
      <x:c r="C4" t="str">
        <x:v>Meaning</x:v>
      </x:c>
      <x:c r="D4" t="str">
        <x:v>Edit</x:v>
      </x:c>
      <x:c r="F4" t="str">
        <x:v>Scoring settings</x:v>
      </x:c>
      <x:c r="G4" t="str">
        <x:v>Value</x:v>
      </x:c>
      <x:c r="H4" t="str">
        <x:v>Meaning</x:v>
      </x:c>
      <x:c r="I4" t="str">
        <x:v>Edit</x:v>
      </x:c>
    </x:row>
    <x:row r="5">
      <x:c r="A5" t="str">
        <x:v>Delivery weight</x:v>
      </x:c>
      <x:c r="B5" s="20" t="n">
        <x:v>0.3</x:v>
      </x:c>
      <x:c r="C5" t="str">
        <x:v>On-time shipments / due shipments</x:v>
      </x:c>
      <x:c r="D5" t="str">
        <x:v>Adjust weights to sum to 100%</x:v>
      </x:c>
      <x:c r="F5" t="str">
        <x:v>Evidence weight</x:v>
      </x:c>
      <x:c r="G5" s="20" t="n">
        <x:v>0.1</x:v>
      </x:c>
      <x:c r="H5" t="str">
        <x:v>Accepted required items / due items</x:v>
      </x:c>
      <x:c r="I5" t="str">
        <x:v>Blank if none due</x:v>
      </x:c>
    </x:row>
    <x:row r="6">
      <x:c r="A6" t="str">
        <x:v>Quality weight</x:v>
      </x:c>
      <x:c r="B6" s="20" t="n">
        <x:v>0.4</x:v>
      </x:c>
      <x:c r="C6" t="str">
        <x:v>1 − rejected units / inspected units</x:v>
      </x:c>
      <x:c r="D6" t="str">
        <x:v>Use comparable inspection definitions</x:v>
      </x:c>
      <x:c r="F6" t="str">
        <x:v>Investigation trigger</x:v>
      </x:c>
      <x:c r="G6" s="20" t="n">
        <x:v>0.85</x:v>
      </x:c>
      <x:c r="H6" t="str">
        <x:v>Below this total: investigate</x:v>
      </x:c>
      <x:c r="I6" t="str">
        <x:v>Internal triage, not customer approval</x:v>
      </x:c>
    </x:row>
    <x:row r="7">
      <x:c r="A7" t="str">
        <x:v>Action weight</x:v>
      </x:c>
      <x:c r="B7" s="20" t="n">
        <x:v>0.2</x:v>
      </x:c>
      <x:c r="C7" t="str">
        <x:v>Corrective actions closed on time / due actions</x:v>
      </x:c>
      <x:c r="D7" t="str">
        <x:v>Blank if none due</x:v>
      </x:c>
      <x:c r="F7" t="str">
        <x:v>Weight check</x:v>
      </x:c>
      <x:c r="G7" s="19" t="n">
        <x:f>B5+B6+B7+G5</x:f>
        <x:v>0.9999999999999999</x:v>
      </x:c>
      <x:c r="H7" t="str">
        <x:v>Should equal 100%</x:v>
      </x:c>
      <x:c r="I7" t="str">
        <x:v>Change values before interpreting scores</x:v>
      </x:c>
    </x:row>
    <x:row r="9">
      <x:c r="A9" s="7" t="str">
        <x:v>Supplier</x:v>
      </x:c>
      <x:c r="B9" s="7" t="str">
        <x:v>Period</x:v>
      </x:c>
      <x:c r="C9" s="7" t="str">
        <x:v>On-time shipments</x:v>
      </x:c>
      <x:c r="D9" s="7" t="str">
        <x:v>Shipments due</x:v>
      </x:c>
      <x:c r="E9" s="7" t="str">
        <x:v>Rejected units</x:v>
      </x:c>
      <x:c r="F9" s="7" t="str">
        <x:v>Units inspected</x:v>
      </x:c>
      <x:c r="G9" s="7" t="str">
        <x:v>Actions on time</x:v>
      </x:c>
      <x:c r="H9" s="7" t="str">
        <x:v>Actions due</x:v>
      </x:c>
      <x:c r="I9" s="7" t="str">
        <x:v>Evidence accepted</x:v>
      </x:c>
      <x:c r="J9" s="7" t="str">
        <x:v>Evidence due</x:v>
      </x:c>
      <x:c r="K9" s="7" t="str">
        <x:v>Delivery %</x:v>
      </x:c>
      <x:c r="L9" s="7" t="str">
        <x:v>Quality %</x:v>
      </x:c>
      <x:c r="M9" s="7" t="str">
        <x:v>Action %</x:v>
      </x:c>
      <x:c r="N9" s="7" t="str">
        <x:v>Evidence %</x:v>
      </x:c>
      <x:c r="O9" s="7" t="str">
        <x:v>Weighted score</x:v>
      </x:c>
      <x:c r="P9" s="7" t="str">
        <x:v>Review cue</x:v>
      </x:c>
    </x:row>
    <x:row r="10" ht="32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21" t="str">
        <x:f>IF(OR(C10="",D10="",D10=0),"",MIN(1,C10/D10))</x:f>
      </x:c>
      <x:c r="L10" s="21" t="str">
        <x:f>IF(OR(E10="",F10="",F10=0),"",MAX(0,1-E10/F10))</x:f>
      </x:c>
      <x:c r="M10" s="21" t="str">
        <x:f>IF(OR(G10="",H10="",H10=0),"",MIN(1,G10/H10))</x:f>
      </x:c>
      <x:c r="N10" s="21" t="str">
        <x:f>IF(OR(I10="",J10="",J10=0),"",MIN(1,I10/J10))</x:f>
      </x:c>
      <x:c r="O10" s="21" t="str">
        <x:f>IF(COUNT(K10:N10)=0,"",(IF(ISNUMBER(K10),K10*$B$5,0)+IF(ISNUMBER(L10),L10*$B$6,0)+IF(ISNUMBER(M10),M10*$B$7,0)+IF(ISNUMBER(N10),N10*$G$5,0))/(IF(ISNUMBER(K10),$B$5,0)+IF(ISNUMBER(L10),$B$6,0)+IF(ISNUMBER(M10),$B$7,0)+IF(ISNUMBER(N10),$G$5,0)))</x:f>
      </x:c>
      <x:c r="P10" s="11" t="str">
        <x:f>IF(O10="","",IF(O10&lt;$G$6,"Investigate","Routine review"))</x:f>
      </x:c>
    </x:row>
    <x:row r="11" ht="32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21" t="str">
        <x:f>IF(OR(C11="",D11="",D11=0),"",MIN(1,C11/D11))</x:f>
      </x:c>
      <x:c r="L11" s="21" t="str">
        <x:f>IF(OR(E11="",F11="",F11=0),"",MAX(0,1-E11/F11))</x:f>
      </x:c>
      <x:c r="M11" s="21" t="str">
        <x:f>IF(OR(G11="",H11="",H11=0),"",MIN(1,G11/H11))</x:f>
      </x:c>
      <x:c r="N11" s="21" t="str">
        <x:f>IF(OR(I11="",J11="",J11=0),"",MIN(1,I11/J11))</x:f>
      </x:c>
      <x:c r="O11" s="21" t="str">
        <x:f>IF(COUNT(K11:N11)=0,"",(IF(ISNUMBER(K11),K11*$B$5,0)+IF(ISNUMBER(L11),L11*$B$6,0)+IF(ISNUMBER(M11),M11*$B$7,0)+IF(ISNUMBER(N11),N11*$G$5,0))/(IF(ISNUMBER(K11),$B$5,0)+IF(ISNUMBER(L11),$B$6,0)+IF(ISNUMBER(M11),$B$7,0)+IF(ISNUMBER(N11),$G$5,0)))</x:f>
      </x:c>
      <x:c r="P11" s="11" t="str">
        <x:f>IF(O11="","",IF(O11&lt;$G$6,"Investigate","Routine review"))</x:f>
      </x:c>
    </x:row>
    <x:row r="12" ht="32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21" t="str">
        <x:f>IF(OR(C12="",D12="",D12=0),"",MIN(1,C12/D12))</x:f>
      </x:c>
      <x:c r="L12" s="21" t="str">
        <x:f>IF(OR(E12="",F12="",F12=0),"",MAX(0,1-E12/F12))</x:f>
      </x:c>
      <x:c r="M12" s="21" t="str">
        <x:f>IF(OR(G12="",H12="",H12=0),"",MIN(1,G12/H12))</x:f>
      </x:c>
      <x:c r="N12" s="21" t="str">
        <x:f>IF(OR(I12="",J12="",J12=0),"",MIN(1,I12/J12))</x:f>
      </x:c>
      <x:c r="O12" s="21" t="str">
        <x:f>IF(COUNT(K12:N12)=0,"",(IF(ISNUMBER(K12),K12*$B$5,0)+IF(ISNUMBER(L12),L12*$B$6,0)+IF(ISNUMBER(M12),M12*$B$7,0)+IF(ISNUMBER(N12),N12*$G$5,0))/(IF(ISNUMBER(K12),$B$5,0)+IF(ISNUMBER(L12),$B$6,0)+IF(ISNUMBER(M12),$B$7,0)+IF(ISNUMBER(N12),$G$5,0)))</x:f>
      </x:c>
      <x:c r="P12" s="11" t="str">
        <x:f>IF(O12="","",IF(O12&lt;$G$6,"Investigate","Routine review"))</x:f>
      </x:c>
    </x:row>
    <x:row r="13" ht="32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21" t="str">
        <x:f>IF(OR(C13="",D13="",D13=0),"",MIN(1,C13/D13))</x:f>
      </x:c>
      <x:c r="L13" s="21" t="str">
        <x:f>IF(OR(E13="",F13="",F13=0),"",MAX(0,1-E13/F13))</x:f>
      </x:c>
      <x:c r="M13" s="21" t="str">
        <x:f>IF(OR(G13="",H13="",H13=0),"",MIN(1,G13/H13))</x:f>
      </x:c>
      <x:c r="N13" s="21" t="str">
        <x:f>IF(OR(I13="",J13="",J13=0),"",MIN(1,I13/J13))</x:f>
      </x:c>
      <x:c r="O13" s="21" t="str">
        <x:f>IF(COUNT(K13:N13)=0,"",(IF(ISNUMBER(K13),K13*$B$5,0)+IF(ISNUMBER(L13),L13*$B$6,0)+IF(ISNUMBER(M13),M13*$B$7,0)+IF(ISNUMBER(N13),N13*$G$5,0))/(IF(ISNUMBER(K13),$B$5,0)+IF(ISNUMBER(L13),$B$6,0)+IF(ISNUMBER(M13),$B$7,0)+IF(ISNUMBER(N13),$G$5,0)))</x:f>
      </x:c>
      <x:c r="P13" s="11" t="str">
        <x:f>IF(O13="","",IF(O13&lt;$G$6,"Investigate","Routine review"))</x:f>
      </x:c>
    </x:row>
    <x:row r="14" ht="32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21" t="str">
        <x:f>IF(OR(C14="",D14="",D14=0),"",MIN(1,C14/D14))</x:f>
      </x:c>
      <x:c r="L14" s="21" t="str">
        <x:f>IF(OR(E14="",F14="",F14=0),"",MAX(0,1-E14/F14))</x:f>
      </x:c>
      <x:c r="M14" s="21" t="str">
        <x:f>IF(OR(G14="",H14="",H14=0),"",MIN(1,G14/H14))</x:f>
      </x:c>
      <x:c r="N14" s="21" t="str">
        <x:f>IF(OR(I14="",J14="",J14=0),"",MIN(1,I14/J14))</x:f>
      </x:c>
      <x:c r="O14" s="21" t="str">
        <x:f>IF(COUNT(K14:N14)=0,"",(IF(ISNUMBER(K14),K14*$B$5,0)+IF(ISNUMBER(L14),L14*$B$6,0)+IF(ISNUMBER(M14),M14*$B$7,0)+IF(ISNUMBER(N14),N14*$G$5,0))/(IF(ISNUMBER(K14),$B$5,0)+IF(ISNUMBER(L14),$B$6,0)+IF(ISNUMBER(M14),$B$7,0)+IF(ISNUMBER(N14),$G$5,0)))</x:f>
      </x:c>
      <x:c r="P14" s="11" t="str">
        <x:f>IF(O14="","",IF(O14&lt;$G$6,"Investigate","Routine review"))</x:f>
      </x:c>
    </x:row>
    <x:row r="15" ht="32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21" t="str">
        <x:f>IF(OR(C15="",D15="",D15=0),"",MIN(1,C15/D15))</x:f>
      </x:c>
      <x:c r="L15" s="21" t="str">
        <x:f>IF(OR(E15="",F15="",F15=0),"",MAX(0,1-E15/F15))</x:f>
      </x:c>
      <x:c r="M15" s="21" t="str">
        <x:f>IF(OR(G15="",H15="",H15=0),"",MIN(1,G15/H15))</x:f>
      </x:c>
      <x:c r="N15" s="21" t="str">
        <x:f>IF(OR(I15="",J15="",J15=0),"",MIN(1,I15/J15))</x:f>
      </x:c>
      <x:c r="O15" s="21" t="str">
        <x:f>IF(COUNT(K15:N15)=0,"",(IF(ISNUMBER(K15),K15*$B$5,0)+IF(ISNUMBER(L15),L15*$B$6,0)+IF(ISNUMBER(M15),M15*$B$7,0)+IF(ISNUMBER(N15),N15*$G$5,0))/(IF(ISNUMBER(K15),$B$5,0)+IF(ISNUMBER(L15),$B$6,0)+IF(ISNUMBER(M15),$B$7,0)+IF(ISNUMBER(N15),$G$5,0)))</x:f>
      </x:c>
      <x:c r="P15" s="11" t="str">
        <x:f>IF(O15="","",IF(O15&lt;$G$6,"Investigate","Routine review"))</x:f>
      </x:c>
    </x:row>
    <x:row r="16" ht="32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21" t="str">
        <x:f>IF(OR(C16="",D16="",D16=0),"",MIN(1,C16/D16))</x:f>
      </x:c>
      <x:c r="L16" s="21" t="str">
        <x:f>IF(OR(E16="",F16="",F16=0),"",MAX(0,1-E16/F16))</x:f>
      </x:c>
      <x:c r="M16" s="21" t="str">
        <x:f>IF(OR(G16="",H16="",H16=0),"",MIN(1,G16/H16))</x:f>
      </x:c>
      <x:c r="N16" s="21" t="str">
        <x:f>IF(OR(I16="",J16="",J16=0),"",MIN(1,I16/J16))</x:f>
      </x:c>
      <x:c r="O16" s="21" t="str">
        <x:f>IF(COUNT(K16:N16)=0,"",(IF(ISNUMBER(K16),K16*$B$5,0)+IF(ISNUMBER(L16),L16*$B$6,0)+IF(ISNUMBER(M16),M16*$B$7,0)+IF(ISNUMBER(N16),N16*$G$5,0))/(IF(ISNUMBER(K16),$B$5,0)+IF(ISNUMBER(L16),$B$6,0)+IF(ISNUMBER(M16),$B$7,0)+IF(ISNUMBER(N16),$G$5,0)))</x:f>
      </x:c>
      <x:c r="P16" s="11" t="str">
        <x:f>IF(O16="","",IF(O16&lt;$G$6,"Investigate","Routine review"))</x:f>
      </x:c>
    </x:row>
    <x:row r="17" ht="32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21" t="str">
        <x:f>IF(OR(C17="",D17="",D17=0),"",MIN(1,C17/D17))</x:f>
      </x:c>
      <x:c r="L17" s="21" t="str">
        <x:f>IF(OR(E17="",F17="",F17=0),"",MAX(0,1-E17/F17))</x:f>
      </x:c>
      <x:c r="M17" s="21" t="str">
        <x:f>IF(OR(G17="",H17="",H17=0),"",MIN(1,G17/H17))</x:f>
      </x:c>
      <x:c r="N17" s="21" t="str">
        <x:f>IF(OR(I17="",J17="",J17=0),"",MIN(1,I17/J17))</x:f>
      </x:c>
      <x:c r="O17" s="21" t="str">
        <x:f>IF(COUNT(K17:N17)=0,"",(IF(ISNUMBER(K17),K17*$B$5,0)+IF(ISNUMBER(L17),L17*$B$6,0)+IF(ISNUMBER(M17),M17*$B$7,0)+IF(ISNUMBER(N17),N17*$G$5,0))/(IF(ISNUMBER(K17),$B$5,0)+IF(ISNUMBER(L17),$B$6,0)+IF(ISNUMBER(M17),$B$7,0)+IF(ISNUMBER(N17),$G$5,0)))</x:f>
      </x:c>
      <x:c r="P17" s="11" t="str">
        <x:f>IF(O17="","",IF(O17&lt;$G$6,"Investigate","Routine review"))</x:f>
      </x:c>
    </x:row>
    <x:row r="18" ht="32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21" t="str">
        <x:f>IF(OR(C18="",D18="",D18=0),"",MIN(1,C18/D18))</x:f>
      </x:c>
      <x:c r="L18" s="21" t="str">
        <x:f>IF(OR(E18="",F18="",F18=0),"",MAX(0,1-E18/F18))</x:f>
      </x:c>
      <x:c r="M18" s="21" t="str">
        <x:f>IF(OR(G18="",H18="",H18=0),"",MIN(1,G18/H18))</x:f>
      </x:c>
      <x:c r="N18" s="21" t="str">
        <x:f>IF(OR(I18="",J18="",J18=0),"",MIN(1,I18/J18))</x:f>
      </x:c>
      <x:c r="O18" s="21" t="str">
        <x:f>IF(COUNT(K18:N18)=0,"",(IF(ISNUMBER(K18),K18*$B$5,0)+IF(ISNUMBER(L18),L18*$B$6,0)+IF(ISNUMBER(M18),M18*$B$7,0)+IF(ISNUMBER(N18),N18*$G$5,0))/(IF(ISNUMBER(K18),$B$5,0)+IF(ISNUMBER(L18),$B$6,0)+IF(ISNUMBER(M18),$B$7,0)+IF(ISNUMBER(N18),$G$5,0)))</x:f>
      </x:c>
      <x:c r="P18" s="11" t="str">
        <x:f>IF(O18="","",IF(O18&lt;$G$6,"Investigate","Routine review"))</x:f>
      </x:c>
    </x:row>
    <x:row r="19" ht="32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21" t="str">
        <x:f>IF(OR(C19="",D19="",D19=0),"",MIN(1,C19/D19))</x:f>
      </x:c>
      <x:c r="L19" s="21" t="str">
        <x:f>IF(OR(E19="",F19="",F19=0),"",MAX(0,1-E19/F19))</x:f>
      </x:c>
      <x:c r="M19" s="21" t="str">
        <x:f>IF(OR(G19="",H19="",H19=0),"",MIN(1,G19/H19))</x:f>
      </x:c>
      <x:c r="N19" s="21" t="str">
        <x:f>IF(OR(I19="",J19="",J19=0),"",MIN(1,I19/J19))</x:f>
      </x:c>
      <x:c r="O19" s="21" t="str">
        <x:f>IF(COUNT(K19:N19)=0,"",(IF(ISNUMBER(K19),K19*$B$5,0)+IF(ISNUMBER(L19),L19*$B$6,0)+IF(ISNUMBER(M19),M19*$B$7,0)+IF(ISNUMBER(N19),N19*$G$5,0))/(IF(ISNUMBER(K19),$B$5,0)+IF(ISNUMBER(L19),$B$6,0)+IF(ISNUMBER(M19),$B$7,0)+IF(ISNUMBER(N19),$G$5,0)))</x:f>
      </x:c>
      <x:c r="P19" s="11" t="str">
        <x:f>IF(O19="","",IF(O19&lt;$G$6,"Investigate","Routine review"))</x:f>
      </x:c>
    </x:row>
    <x:row r="20" ht="32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21" t="str">
        <x:f>IF(OR(C20="",D20="",D20=0),"",MIN(1,C20/D20))</x:f>
      </x:c>
      <x:c r="L20" s="21" t="str">
        <x:f>IF(OR(E20="",F20="",F20=0),"",MAX(0,1-E20/F20))</x:f>
      </x:c>
      <x:c r="M20" s="21" t="str">
        <x:f>IF(OR(G20="",H20="",H20=0),"",MIN(1,G20/H20))</x:f>
      </x:c>
      <x:c r="N20" s="21" t="str">
        <x:f>IF(OR(I20="",J20="",J20=0),"",MIN(1,I20/J20))</x:f>
      </x:c>
      <x:c r="O20" s="21" t="str">
        <x:f>IF(COUNT(K20:N20)=0,"",(IF(ISNUMBER(K20),K20*$B$5,0)+IF(ISNUMBER(L20),L20*$B$6,0)+IF(ISNUMBER(M20),M20*$B$7,0)+IF(ISNUMBER(N20),N20*$G$5,0))/(IF(ISNUMBER(K20),$B$5,0)+IF(ISNUMBER(L20),$B$6,0)+IF(ISNUMBER(M20),$B$7,0)+IF(ISNUMBER(N20),$G$5,0)))</x:f>
      </x:c>
      <x:c r="P20" s="11" t="str">
        <x:f>IF(O20="","",IF(O20&lt;$G$6,"Investigate","Routine review"))</x:f>
      </x:c>
    </x:row>
    <x:row r="21" ht="32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21" t="str">
        <x:f>IF(OR(C21="",D21="",D21=0),"",MIN(1,C21/D21))</x:f>
      </x:c>
      <x:c r="L21" s="21" t="str">
        <x:f>IF(OR(E21="",F21="",F21=0),"",MAX(0,1-E21/F21))</x:f>
      </x:c>
      <x:c r="M21" s="21" t="str">
        <x:f>IF(OR(G21="",H21="",H21=0),"",MIN(1,G21/H21))</x:f>
      </x:c>
      <x:c r="N21" s="21" t="str">
        <x:f>IF(OR(I21="",J21="",J21=0),"",MIN(1,I21/J21))</x:f>
      </x:c>
      <x:c r="O21" s="21" t="str">
        <x:f>IF(COUNT(K21:N21)=0,"",(IF(ISNUMBER(K21),K21*$B$5,0)+IF(ISNUMBER(L21),L21*$B$6,0)+IF(ISNUMBER(M21),M21*$B$7,0)+IF(ISNUMBER(N21),N21*$G$5,0))/(IF(ISNUMBER(K21),$B$5,0)+IF(ISNUMBER(L21),$B$6,0)+IF(ISNUMBER(M21),$B$7,0)+IF(ISNUMBER(N21),$G$5,0)))</x:f>
      </x:c>
      <x:c r="P21" s="11" t="str">
        <x:f>IF(O21="","",IF(O21&lt;$G$6,"Investigate","Routine review"))</x:f>
      </x:c>
    </x:row>
    <x:row r="22" ht="32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21" t="str">
        <x:f>IF(OR(C22="",D22="",D22=0),"",MIN(1,C22/D22))</x:f>
      </x:c>
      <x:c r="L22" s="21" t="str">
        <x:f>IF(OR(E22="",F22="",F22=0),"",MAX(0,1-E22/F22))</x:f>
      </x:c>
      <x:c r="M22" s="21" t="str">
        <x:f>IF(OR(G22="",H22="",H22=0),"",MIN(1,G22/H22))</x:f>
      </x:c>
      <x:c r="N22" s="21" t="str">
        <x:f>IF(OR(I22="",J22="",J22=0),"",MIN(1,I22/J22))</x:f>
      </x:c>
      <x:c r="O22" s="21" t="str">
        <x:f>IF(COUNT(K22:N22)=0,"",(IF(ISNUMBER(K22),K22*$B$5,0)+IF(ISNUMBER(L22),L22*$B$6,0)+IF(ISNUMBER(M22),M22*$B$7,0)+IF(ISNUMBER(N22),N22*$G$5,0))/(IF(ISNUMBER(K22),$B$5,0)+IF(ISNUMBER(L22),$B$6,0)+IF(ISNUMBER(M22),$B$7,0)+IF(ISNUMBER(N22),$G$5,0)))</x:f>
      </x:c>
      <x:c r="P22" s="11" t="str">
        <x:f>IF(O22="","",IF(O22&lt;$G$6,"Investigate","Routine review"))</x:f>
      </x:c>
    </x:row>
    <x:row r="23" ht="32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21" t="str">
        <x:f>IF(OR(C23="",D23="",D23=0),"",MIN(1,C23/D23))</x:f>
      </x:c>
      <x:c r="L23" s="21" t="str">
        <x:f>IF(OR(E23="",F23="",F23=0),"",MAX(0,1-E23/F23))</x:f>
      </x:c>
      <x:c r="M23" s="21" t="str">
        <x:f>IF(OR(G23="",H23="",H23=0),"",MIN(1,G23/H23))</x:f>
      </x:c>
      <x:c r="N23" s="21" t="str">
        <x:f>IF(OR(I23="",J23="",J23=0),"",MIN(1,I23/J23))</x:f>
      </x:c>
      <x:c r="O23" s="21" t="str">
        <x:f>IF(COUNT(K23:N23)=0,"",(IF(ISNUMBER(K23),K23*$B$5,0)+IF(ISNUMBER(L23),L23*$B$6,0)+IF(ISNUMBER(M23),M23*$B$7,0)+IF(ISNUMBER(N23),N23*$G$5,0))/(IF(ISNUMBER(K23),$B$5,0)+IF(ISNUMBER(L23),$B$6,0)+IF(ISNUMBER(M23),$B$7,0)+IF(ISNUMBER(N23),$G$5,0)))</x:f>
      </x:c>
      <x:c r="P23" s="11" t="str">
        <x:f>IF(O23="","",IF(O23&lt;$G$6,"Investigate","Routine review"))</x:f>
      </x:c>
    </x:row>
    <x:row r="24" ht="32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21" t="str">
        <x:f>IF(OR(C24="",D24="",D24=0),"",MIN(1,C24/D24))</x:f>
      </x:c>
      <x:c r="L24" s="21" t="str">
        <x:f>IF(OR(E24="",F24="",F24=0),"",MAX(0,1-E24/F24))</x:f>
      </x:c>
      <x:c r="M24" s="21" t="str">
        <x:f>IF(OR(G24="",H24="",H24=0),"",MIN(1,G24/H24))</x:f>
      </x:c>
      <x:c r="N24" s="21" t="str">
        <x:f>IF(OR(I24="",J24="",J24=0),"",MIN(1,I24/J24))</x:f>
      </x:c>
      <x:c r="O24" s="21" t="str">
        <x:f>IF(COUNT(K24:N24)=0,"",(IF(ISNUMBER(K24),K24*$B$5,0)+IF(ISNUMBER(L24),L24*$B$6,0)+IF(ISNUMBER(M24),M24*$B$7,0)+IF(ISNUMBER(N24),N24*$G$5,0))/(IF(ISNUMBER(K24),$B$5,0)+IF(ISNUMBER(L24),$B$6,0)+IF(ISNUMBER(M24),$B$7,0)+IF(ISNUMBER(N24),$G$5,0)))</x:f>
      </x:c>
      <x:c r="P24" s="11" t="str">
        <x:f>IF(O24="","",IF(O24&lt;$G$6,"Investigate","Routine review"))</x:f>
      </x:c>
    </x:row>
    <x:row r="25" ht="32" customHeight="1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21" t="str">
        <x:f>IF(OR(C25="",D25="",D25=0),"",MIN(1,C25/D25))</x:f>
      </x:c>
      <x:c r="L25" s="21" t="str">
        <x:f>IF(OR(E25="",F25="",F25=0),"",MAX(0,1-E25/F25))</x:f>
      </x:c>
      <x:c r="M25" s="21" t="str">
        <x:f>IF(OR(G25="",H25="",H25=0),"",MIN(1,G25/H25))</x:f>
      </x:c>
      <x:c r="N25" s="21" t="str">
        <x:f>IF(OR(I25="",J25="",J25=0),"",MIN(1,I25/J25))</x:f>
      </x:c>
      <x:c r="O25" s="21" t="str">
        <x:f>IF(COUNT(K25:N25)=0,"",(IF(ISNUMBER(K25),K25*$B$5,0)+IF(ISNUMBER(L25),L25*$B$6,0)+IF(ISNUMBER(M25),M25*$B$7,0)+IF(ISNUMBER(N25),N25*$G$5,0))/(IF(ISNUMBER(K25),$B$5,0)+IF(ISNUMBER(L25),$B$6,0)+IF(ISNUMBER(M25),$B$7,0)+IF(ISNUMBER(N25),$G$5,0)))</x:f>
      </x:c>
      <x:c r="P25" s="11" t="str">
        <x:f>IF(O25="","",IF(O25&lt;$G$6,"Investigate","Routine review"))</x:f>
      </x:c>
    </x:row>
    <x:row r="26" ht="32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21" t="str">
        <x:f>IF(OR(C26="",D26="",D26=0),"",MIN(1,C26/D26))</x:f>
      </x:c>
      <x:c r="L26" s="21" t="str">
        <x:f>IF(OR(E26="",F26="",F26=0),"",MAX(0,1-E26/F26))</x:f>
      </x:c>
      <x:c r="M26" s="21" t="str">
        <x:f>IF(OR(G26="",H26="",H26=0),"",MIN(1,G26/H26))</x:f>
      </x:c>
      <x:c r="N26" s="21" t="str">
        <x:f>IF(OR(I26="",J26="",J26=0),"",MIN(1,I26/J26))</x:f>
      </x:c>
      <x:c r="O26" s="21" t="str">
        <x:f>IF(COUNT(K26:N26)=0,"",(IF(ISNUMBER(K26),K26*$B$5,0)+IF(ISNUMBER(L26),L26*$B$6,0)+IF(ISNUMBER(M26),M26*$B$7,0)+IF(ISNUMBER(N26),N26*$G$5,0))/(IF(ISNUMBER(K26),$B$5,0)+IF(ISNUMBER(L26),$B$6,0)+IF(ISNUMBER(M26),$B$7,0)+IF(ISNUMBER(N26),$G$5,0)))</x:f>
      </x:c>
      <x:c r="P26" s="11" t="str">
        <x:f>IF(O26="","",IF(O26&lt;$G$6,"Investigate","Routine review"))</x:f>
      </x:c>
    </x:row>
    <x:row r="27" ht="32" customHeight="1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21" t="str">
        <x:f>IF(OR(C27="",D27="",D27=0),"",MIN(1,C27/D27))</x:f>
      </x:c>
      <x:c r="L27" s="21" t="str">
        <x:f>IF(OR(E27="",F27="",F27=0),"",MAX(0,1-E27/F27))</x:f>
      </x:c>
      <x:c r="M27" s="21" t="str">
        <x:f>IF(OR(G27="",H27="",H27=0),"",MIN(1,G27/H27))</x:f>
      </x:c>
      <x:c r="N27" s="21" t="str">
        <x:f>IF(OR(I27="",J27="",J27=0),"",MIN(1,I27/J27))</x:f>
      </x:c>
      <x:c r="O27" s="21" t="str">
        <x:f>IF(COUNT(K27:N27)=0,"",(IF(ISNUMBER(K27),K27*$B$5,0)+IF(ISNUMBER(L27),L27*$B$6,0)+IF(ISNUMBER(M27),M27*$B$7,0)+IF(ISNUMBER(N27),N27*$G$5,0))/(IF(ISNUMBER(K27),$B$5,0)+IF(ISNUMBER(L27),$B$6,0)+IF(ISNUMBER(M27),$B$7,0)+IF(ISNUMBER(N27),$G$5,0)))</x:f>
      </x:c>
      <x:c r="P27" s="11" t="str">
        <x:f>IF(O27="","",IF(O27&lt;$G$6,"Investigate","Routine review"))</x:f>
      </x:c>
    </x:row>
    <x:row r="28" ht="32" customHeight="1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21" t="str">
        <x:f>IF(OR(C28="",D28="",D28=0),"",MIN(1,C28/D28))</x:f>
      </x:c>
      <x:c r="L28" s="21" t="str">
        <x:f>IF(OR(E28="",F28="",F28=0),"",MAX(0,1-E28/F28))</x:f>
      </x:c>
      <x:c r="M28" s="21" t="str">
        <x:f>IF(OR(G28="",H28="",H28=0),"",MIN(1,G28/H28))</x:f>
      </x:c>
      <x:c r="N28" s="21" t="str">
        <x:f>IF(OR(I28="",J28="",J28=0),"",MIN(1,I28/J28))</x:f>
      </x:c>
      <x:c r="O28" s="21" t="str">
        <x:f>IF(COUNT(K28:N28)=0,"",(IF(ISNUMBER(K28),K28*$B$5,0)+IF(ISNUMBER(L28),L28*$B$6,0)+IF(ISNUMBER(M28),M28*$B$7,0)+IF(ISNUMBER(N28),N28*$G$5,0))/(IF(ISNUMBER(K28),$B$5,0)+IF(ISNUMBER(L28),$B$6,0)+IF(ISNUMBER(M28),$B$7,0)+IF(ISNUMBER(N28),$G$5,0)))</x:f>
      </x:c>
      <x:c r="P28" s="11" t="str">
        <x:f>IF(O28="","",IF(O28&lt;$G$6,"Investigate","Routine review"))</x:f>
      </x:c>
    </x:row>
    <x:row r="29" ht="32" customHeight="1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21" t="str">
        <x:f>IF(OR(C29="",D29="",D29=0),"",MIN(1,C29/D29))</x:f>
      </x:c>
      <x:c r="L29" s="21" t="str">
        <x:f>IF(OR(E29="",F29="",F29=0),"",MAX(0,1-E29/F29))</x:f>
      </x:c>
      <x:c r="M29" s="21" t="str">
        <x:f>IF(OR(G29="",H29="",H29=0),"",MIN(1,G29/H29))</x:f>
      </x:c>
      <x:c r="N29" s="21" t="str">
        <x:f>IF(OR(I29="",J29="",J29=0),"",MIN(1,I29/J29))</x:f>
      </x:c>
      <x:c r="O29" s="21" t="str">
        <x:f>IF(COUNT(K29:N29)=0,"",(IF(ISNUMBER(K29),K29*$B$5,0)+IF(ISNUMBER(L29),L29*$B$6,0)+IF(ISNUMBER(M29),M29*$B$7,0)+IF(ISNUMBER(N29),N29*$G$5,0))/(IF(ISNUMBER(K29),$B$5,0)+IF(ISNUMBER(L29),$B$6,0)+IF(ISNUMBER(M29),$B$7,0)+IF(ISNUMBER(N29),$G$5,0)))</x:f>
      </x:c>
      <x:c r="P29" s="11" t="str">
        <x:f>IF(O29="","",IF(O29&lt;$G$6,"Investigate","Routine review"))</x:f>
      </x:c>
    </x:row>
    <x:row r="31">
      <x:c r="A31" t="str">
        <x:v>Instructions</x:v>
      </x:c>
      <x:c r="B31" t="str"/>
      <x:c r="C31" t="str"/>
      <x:c r="D31" t="str"/>
      <x:c r="E31" t="str"/>
      <x:c r="F31" t="str"/>
      <x:c r="G31" t="str"/>
      <x:c r="H31" t="str"/>
      <x:c r="I31" t="str"/>
      <x:c r="J31" t="str"/>
      <x:c r="K31" t="str"/>
      <x:c r="L31" t="str"/>
      <x:c r="M31" t="str"/>
      <x:c r="N31" t="str"/>
      <x:c r="O31" t="str"/>
      <x:c r="P31" t="str"/>
    </x:row>
    <x:row r="32" ht="43" customHeight="1">
      <x:c r="A32" s="12" t="str">
        <x:v>Enter one supplier and period per row. Use source counts, not already-rounded percentages. If no actions or evidence were due, leave both cells blank; the score reweights the remaining dimensions. If a required dimension is missing, investigate before comparing suppliers.</x:v>
      </x:c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/>
      <x:c r="M32" s="12" t="str"/>
      <x:c r="N32" s="12" t="str"/>
      <x:c r="O32" s="12" t="str"/>
      <x:c r="P32" s="12" t="str"/>
    </x:row>
    <x:row r="33" ht="43" customHeight="1">
      <x:c r="A33" s="12" t="str">
        <x:v>The score is an internal discussion prompt. Compare like products and inspection coverage; record safety or customer escalations outside the weighted score. Never use this score to override contractual acceptance or a stop-ship decision.</x:v>
      </x:c>
      <x:c r="B33" s="12" t="str"/>
      <x:c r="C33" s="12" t="str"/>
      <x:c r="D33" s="12" t="str"/>
      <x:c r="E33" s="12" t="str"/>
      <x:c r="F33" s="12" t="str"/>
      <x:c r="G33" s="12" t="str"/>
      <x:c r="H33" s="12" t="str"/>
      <x:c r="I33" s="12" t="str"/>
      <x:c r="J33" s="12" t="str"/>
      <x:c r="K33" s="12" t="str"/>
      <x:c r="L33" s="12" t="str"/>
      <x:c r="M33" s="12" t="str"/>
      <x:c r="N33" s="12" t="str"/>
      <x:c r="O33" s="12" t="str"/>
      <x:c r="P33" s="12" t="str"/>
    </x:row>
  </x:sheetData>
  <x:mergeCells>
    <x:mergeCell ref="A1:P2"/>
    <x:mergeCell ref="A31:P31"/>
    <x:mergeCell ref="A32:P32"/>
    <x:mergeCell ref="A33:P33"/>
  </x:mergeCells>
  <x:pageMargins left="0.7" right="0.7" top="0.75" bottom="0.75" header="0.3" footer="0.3"/>
</x:worksheet>
</file>